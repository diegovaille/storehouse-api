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cional - Custos" sheetId="1" r:id="rId4"/>
    <sheet state="visible" name="Cópia de Operacional - Custos" sheetId="2" r:id="rId5"/>
  </sheets>
  <definedNames/>
  <calcPr/>
  <extLst>
    <ext uri="GoogleSheetsCustomDataVersion2">
      <go:sheetsCustomData xmlns:go="http://customooxmlschemas.google.com/" r:id="rId6" roundtripDataChecksum="1XZVJvv2jNzw+0PCxAmoWgtFlPmHpcHks6TRl+Gl+rM="/>
    </ext>
  </extLst>
</workbook>
</file>

<file path=xl/sharedStrings.xml><?xml version="1.0" encoding="utf-8"?>
<sst xmlns="http://schemas.openxmlformats.org/spreadsheetml/2006/main" count="65" uniqueCount="32">
  <si>
    <t>Custos Operacionais</t>
  </si>
  <si>
    <t>Preço Médio</t>
  </si>
  <si>
    <t>Valor Unitário</t>
  </si>
  <si>
    <t>PRODUÇÃO MENSAL:</t>
  </si>
  <si>
    <t>Embalagens</t>
  </si>
  <si>
    <t>GELINHO</t>
  </si>
  <si>
    <t>CUSTO FINAL</t>
  </si>
  <si>
    <t>Luz</t>
  </si>
  <si>
    <t>Água</t>
  </si>
  <si>
    <t>Coco</t>
  </si>
  <si>
    <t>Gasolina</t>
  </si>
  <si>
    <t>Maça Verde</t>
  </si>
  <si>
    <t>Ajudante</t>
  </si>
  <si>
    <t>Melancia</t>
  </si>
  <si>
    <t>Aluguel</t>
  </si>
  <si>
    <t>Uva</t>
  </si>
  <si>
    <t>Pacote + Luva + Utensilios</t>
  </si>
  <si>
    <t>Maracujá</t>
  </si>
  <si>
    <t>Morango</t>
  </si>
  <si>
    <t>VALOR TOTAL</t>
  </si>
  <si>
    <t>PREÇO MÉDIO VENDA:</t>
  </si>
  <si>
    <t>RECEITA TOTAL:</t>
  </si>
  <si>
    <t>Insumos</t>
  </si>
  <si>
    <t>VALOR</t>
  </si>
  <si>
    <t>UNITÁRIO</t>
  </si>
  <si>
    <t>CUSTO TOTAL:</t>
  </si>
  <si>
    <t>Açúcar</t>
  </si>
  <si>
    <t>LUCRO BRUTO</t>
  </si>
  <si>
    <t>Maçã Verde</t>
  </si>
  <si>
    <t>POR PESSOA</t>
  </si>
  <si>
    <t>Contador</t>
  </si>
  <si>
    <t>VENDA MENSAL (Un)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</si>
</sst>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_-&quot;R$&quot;\ * #,##0.00_-;\-&quot;R$&quot;\ * #,##0.00_-;_-&quot;R$&quot;\ * &quot;-&quot;??.0_-;_-@"/>
    <numFmt numFmtId="166" formatCode="_-&quot;R$&quot;\ * #,##0.000_-;\-&quot;R$&quot;\ * #,##0.000_-;_-&quot;R$&quot;\ * &quot;-&quot;??.0_-;_-@"/>
    <numFmt numFmtId="167" formatCode="[$R$ -416]#,##0.00"/>
  </numFmts>
  <fonts count="8">
    <font>
      <sz val="12.0"/>
      <color theme="1"/>
      <name val="Aptos Narrow"/>
      <scheme val="minor"/>
    </font>
    <font>
      <b/>
      <sz val="16.0"/>
      <color theme="1"/>
      <name val="Aptos Narrow"/>
    </font>
    <font>
      <sz val="16.0"/>
      <color theme="1"/>
      <name val="Arial"/>
    </font>
    <font>
      <sz val="16.0"/>
      <color theme="1"/>
      <name val="Aptos Narrow"/>
    </font>
    <font>
      <sz val="16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2" fontId="2" numFmtId="0" xfId="0" applyAlignment="1" applyFill="1" applyFont="1">
      <alignment readingOrder="0"/>
    </xf>
    <xf borderId="4" fillId="0" fontId="3" numFmtId="0" xfId="0" applyBorder="1" applyFont="1"/>
    <xf borderId="0" fillId="0" fontId="3" numFmtId="164" xfId="0" applyFont="1" applyNumberFormat="1"/>
    <xf borderId="5" fillId="0" fontId="3" numFmtId="0" xfId="0" applyBorder="1" applyFont="1"/>
    <xf borderId="0" fillId="0" fontId="2" numFmtId="164" xfId="0" applyAlignment="1" applyFont="1" applyNumberFormat="1">
      <alignment horizontal="center" readingOrder="0" vertical="center"/>
    </xf>
    <xf borderId="5" fillId="0" fontId="3" numFmtId="165" xfId="0" applyBorder="1" applyFont="1" applyNumberFormat="1"/>
    <xf borderId="3" fillId="0" fontId="1" numFmtId="0" xfId="0" applyBorder="1" applyFont="1"/>
    <xf borderId="5" fillId="0" fontId="3" numFmtId="164" xfId="0" applyBorder="1" applyFont="1" applyNumberFormat="1"/>
    <xf borderId="0" fillId="0" fontId="3" numFmtId="164" xfId="0" applyAlignment="1" applyFont="1" applyNumberFormat="1">
      <alignment horizontal="center" vertical="center"/>
    </xf>
    <xf borderId="0" fillId="0" fontId="4" numFmtId="0" xfId="0" applyFont="1"/>
    <xf borderId="4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5" fillId="0" fontId="3" numFmtId="166" xfId="0" applyBorder="1" applyFont="1" applyNumberFormat="1"/>
    <xf borderId="6" fillId="0" fontId="3" numFmtId="0" xfId="0" applyBorder="1" applyFont="1"/>
    <xf borderId="7" fillId="0" fontId="3" numFmtId="164" xfId="0" applyBorder="1" applyFont="1" applyNumberFormat="1"/>
    <xf borderId="4" fillId="0" fontId="5" numFmtId="0" xfId="0" applyBorder="1" applyFont="1"/>
    <xf borderId="5" fillId="0" fontId="5" numFmtId="0" xfId="0" applyBorder="1" applyFont="1"/>
    <xf borderId="5" fillId="0" fontId="5" numFmtId="166" xfId="0" applyBorder="1" applyFont="1" applyNumberFormat="1"/>
    <xf borderId="6" fillId="0" fontId="1" numFmtId="0" xfId="0" applyBorder="1" applyFont="1"/>
    <xf borderId="8" fillId="0" fontId="3" numFmtId="0" xfId="0" applyBorder="1" applyFont="1"/>
    <xf borderId="7" fillId="0" fontId="3" numFmtId="166" xfId="0" applyBorder="1" applyFont="1" applyNumberFormat="1"/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4" numFmtId="167" xfId="0" applyFont="1" applyNumberFormat="1"/>
    <xf borderId="2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0" fillId="0" fontId="5" numFmtId="166" xfId="0" applyFont="1" applyNumberFormat="1"/>
    <xf borderId="0" fillId="0" fontId="6" numFmtId="0" xfId="0" applyAlignment="1" applyFont="1">
      <alignment readingOrder="0"/>
    </xf>
    <xf borderId="0" fillId="0" fontId="5" numFmtId="167" xfId="0" applyFont="1" applyNumberFormat="1"/>
    <xf borderId="8" fillId="0" fontId="2" numFmtId="164" xfId="0" applyAlignment="1" applyBorder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31.33"/>
    <col customWidth="1" min="3" max="3" width="22.67"/>
    <col customWidth="1" min="4" max="4" width="18.78"/>
    <col customWidth="1" min="5" max="7" width="10.56"/>
    <col customWidth="1" min="8" max="8" width="31.22"/>
    <col customWidth="1" min="9" max="9" width="15.78"/>
    <col customWidth="1" min="10" max="26" width="10.56"/>
  </cols>
  <sheetData>
    <row r="1" ht="15.75" customHeight="1">
      <c r="B1" s="1" t="s">
        <v>0</v>
      </c>
      <c r="C1" s="2" t="s">
        <v>1</v>
      </c>
      <c r="D1" s="3" t="s">
        <v>2</v>
      </c>
      <c r="H1" s="4" t="s">
        <v>3</v>
      </c>
      <c r="I1" s="4">
        <v>70000.0</v>
      </c>
    </row>
    <row r="2" ht="15.75" customHeight="1">
      <c r="B2" s="5"/>
      <c r="C2" s="6"/>
      <c r="D2" s="7"/>
    </row>
    <row r="3" ht="15.75" customHeight="1">
      <c r="B3" s="5" t="s">
        <v>4</v>
      </c>
      <c r="C3" s="8">
        <v>70.0</v>
      </c>
      <c r="D3" s="9">
        <f>C3/700</f>
        <v>0.1</v>
      </c>
      <c r="H3" s="1" t="s">
        <v>5</v>
      </c>
      <c r="I3" s="10" t="s">
        <v>6</v>
      </c>
    </row>
    <row r="4" ht="15.75" customHeight="1">
      <c r="B4" s="5" t="s">
        <v>7</v>
      </c>
      <c r="C4" s="8">
        <v>300.0</v>
      </c>
      <c r="D4" s="9">
        <f>C4/I1</f>
        <v>0.004285714286</v>
      </c>
      <c r="H4" s="5"/>
      <c r="I4" s="7"/>
    </row>
    <row r="5" ht="15.75" customHeight="1">
      <c r="B5" s="5" t="s">
        <v>8</v>
      </c>
      <c r="C5" s="8">
        <v>300.0</v>
      </c>
      <c r="D5" s="9">
        <f>C5/I1</f>
        <v>0.004285714286</v>
      </c>
      <c r="H5" s="5" t="s">
        <v>9</v>
      </c>
      <c r="I5" s="11">
        <f>D13+D18+D17</f>
        <v>0.363305</v>
      </c>
    </row>
    <row r="6" ht="15.75" customHeight="1">
      <c r="B6" s="5" t="s">
        <v>10</v>
      </c>
      <c r="C6" s="8">
        <v>2000.0</v>
      </c>
      <c r="D6" s="9">
        <f>C6/I1</f>
        <v>0.02857142857</v>
      </c>
      <c r="H6" s="5" t="s">
        <v>11</v>
      </c>
      <c r="I6" s="11">
        <f>D13+D19+D17</f>
        <v>0.363305</v>
      </c>
    </row>
    <row r="7" ht="15.75" customHeight="1">
      <c r="B7" s="5" t="s">
        <v>12</v>
      </c>
      <c r="C7" s="8">
        <v>4000.0</v>
      </c>
      <c r="D7" s="9">
        <f>C7/I1</f>
        <v>0.05714285714</v>
      </c>
      <c r="H7" s="5" t="s">
        <v>13</v>
      </c>
      <c r="I7" s="11">
        <f>D20+D13</f>
        <v>0.3554166667</v>
      </c>
    </row>
    <row r="8" ht="15.75" customHeight="1">
      <c r="B8" s="5" t="s">
        <v>14</v>
      </c>
      <c r="C8" s="12">
        <v>2500.0</v>
      </c>
      <c r="D8" s="9">
        <f>C8/I1</f>
        <v>0.03571428571</v>
      </c>
      <c r="H8" s="5" t="s">
        <v>15</v>
      </c>
      <c r="I8" s="11">
        <f>D22+D13</f>
        <v>0.3925</v>
      </c>
      <c r="J8" s="13"/>
    </row>
    <row r="9" ht="15.75" customHeight="1">
      <c r="B9" s="14" t="s">
        <v>16</v>
      </c>
      <c r="C9" s="15">
        <v>600.0</v>
      </c>
      <c r="D9" s="11">
        <f>C9/40000</f>
        <v>0.015</v>
      </c>
      <c r="H9" s="5" t="s">
        <v>17</v>
      </c>
      <c r="I9" s="11">
        <f>D21+D13</f>
        <v>0.3925</v>
      </c>
    </row>
    <row r="10" ht="15.75" customHeight="1">
      <c r="B10" s="5"/>
      <c r="C10" s="16"/>
      <c r="D10" s="17"/>
      <c r="H10" s="18" t="s">
        <v>18</v>
      </c>
      <c r="I10" s="19">
        <f>D23+D13</f>
        <v>0.3925</v>
      </c>
    </row>
    <row r="11" ht="15.75" customHeight="1">
      <c r="B11" s="20"/>
      <c r="D11" s="21"/>
    </row>
    <row r="12" ht="15.75" customHeight="1">
      <c r="B12" s="20"/>
      <c r="D12" s="22"/>
    </row>
    <row r="13" ht="15.75" customHeight="1">
      <c r="B13" s="23" t="s">
        <v>19</v>
      </c>
      <c r="C13" s="24"/>
      <c r="D13" s="25">
        <f>SUM(D3:D12)</f>
        <v>0.245</v>
      </c>
      <c r="H13" s="26" t="s">
        <v>20</v>
      </c>
      <c r="I13" s="27">
        <v>1.3</v>
      </c>
    </row>
    <row r="14" ht="15.75" customHeight="1">
      <c r="B14" s="16"/>
      <c r="C14" s="16"/>
      <c r="D14" s="16"/>
      <c r="H14" s="26" t="s">
        <v>21</v>
      </c>
      <c r="I14" s="28">
        <f>I1*I13</f>
        <v>91000</v>
      </c>
    </row>
    <row r="15" ht="15.75" customHeight="1">
      <c r="B15" s="1" t="s">
        <v>22</v>
      </c>
      <c r="C15" s="29" t="s">
        <v>23</v>
      </c>
      <c r="D15" s="30" t="s">
        <v>24</v>
      </c>
      <c r="H15" s="26" t="s">
        <v>25</v>
      </c>
      <c r="I15" s="28">
        <f>I1*(I7+I5+I9)/3</f>
        <v>25928.50556</v>
      </c>
      <c r="J15" s="31"/>
    </row>
    <row r="16" ht="15.75" customHeight="1">
      <c r="B16" s="5"/>
      <c r="C16" s="12"/>
      <c r="D16" s="11"/>
      <c r="J16" s="16"/>
    </row>
    <row r="17" ht="15.75" customHeight="1">
      <c r="B17" s="5" t="s">
        <v>26</v>
      </c>
      <c r="C17" s="8">
        <v>3.79</v>
      </c>
      <c r="D17" s="11">
        <f>(C17/1000) * ((180/10) *0.25)</f>
        <v>0.017055</v>
      </c>
    </row>
    <row r="18" ht="15.75" customHeight="1">
      <c r="B18" s="5" t="s">
        <v>9</v>
      </c>
      <c r="C18" s="8">
        <v>27.0</v>
      </c>
      <c r="D18" s="11">
        <f t="shared" ref="D18:D19" si="1"> (C18 / 1000) * ((150 / 10) * 0.25)</f>
        <v>0.10125</v>
      </c>
      <c r="H18" s="32" t="s">
        <v>27</v>
      </c>
      <c r="I18" s="33">
        <f>I14-I15</f>
        <v>65071.49444</v>
      </c>
    </row>
    <row r="19" ht="15.75" customHeight="1">
      <c r="B19" s="5" t="s">
        <v>28</v>
      </c>
      <c r="C19" s="8">
        <v>27.0</v>
      </c>
      <c r="D19" s="11">
        <f t="shared" si="1"/>
        <v>0.10125</v>
      </c>
      <c r="H19" s="32" t="s">
        <v>29</v>
      </c>
      <c r="I19" s="33">
        <f>I18/3</f>
        <v>21690.49815</v>
      </c>
    </row>
    <row r="20" ht="15.75" customHeight="1">
      <c r="B20" s="5" t="s">
        <v>13</v>
      </c>
      <c r="C20" s="8">
        <v>53.0</v>
      </c>
      <c r="D20" s="11">
        <f>C20/(8*15*4)</f>
        <v>0.1104166667</v>
      </c>
    </row>
    <row r="21" ht="15.75" customHeight="1">
      <c r="B21" s="5" t="s">
        <v>17</v>
      </c>
      <c r="C21" s="15">
        <v>0.59</v>
      </c>
      <c r="D21" s="11">
        <f t="shared" ref="D21:D23" si="2">C21/4</f>
        <v>0.1475</v>
      </c>
    </row>
    <row r="22" ht="15.75" customHeight="1">
      <c r="B22" s="5" t="s">
        <v>15</v>
      </c>
      <c r="C22" s="8">
        <v>0.59</v>
      </c>
      <c r="D22" s="11">
        <f t="shared" si="2"/>
        <v>0.1475</v>
      </c>
    </row>
    <row r="23" ht="15.75" customHeight="1">
      <c r="B23" s="18" t="s">
        <v>18</v>
      </c>
      <c r="C23" s="34">
        <v>0.59</v>
      </c>
      <c r="D23" s="19">
        <f t="shared" si="2"/>
        <v>0.1475</v>
      </c>
    </row>
    <row r="24" ht="15.75" customHeight="1">
      <c r="B24" s="16"/>
      <c r="C24" s="16"/>
      <c r="D24" s="16"/>
    </row>
    <row r="25" ht="15.75" customHeight="1">
      <c r="B25" s="16"/>
      <c r="C25" s="16"/>
      <c r="D25" s="16"/>
    </row>
    <row r="26" ht="15.75" customHeight="1"/>
    <row r="27" ht="15.75" customHeight="1"/>
    <row r="28" ht="15.75" customHeight="1">
      <c r="D28" s="16"/>
    </row>
    <row r="29" ht="15.75" customHeight="1">
      <c r="D29" s="16"/>
    </row>
    <row r="30" ht="15.75" customHeight="1">
      <c r="D30" s="16"/>
    </row>
    <row r="31" ht="15.75" customHeight="1">
      <c r="D31" s="16"/>
    </row>
    <row r="32" ht="15.75" customHeight="1">
      <c r="D32" s="16"/>
    </row>
    <row r="33" ht="15.75" customHeight="1">
      <c r="D33" s="16"/>
    </row>
    <row r="34" ht="15.75" customHeight="1">
      <c r="B34" s="16"/>
      <c r="C34" s="16"/>
      <c r="D34" s="1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31.33"/>
    <col customWidth="1" min="3" max="3" width="22.67"/>
    <col customWidth="1" min="4" max="4" width="18.78"/>
    <col customWidth="1" min="5" max="7" width="10.56"/>
    <col customWidth="1" min="8" max="8" width="23.33"/>
    <col customWidth="1" min="9" max="9" width="15.78"/>
    <col customWidth="1" min="10" max="26" width="10.56"/>
  </cols>
  <sheetData>
    <row r="1" ht="15.75" customHeight="1">
      <c r="B1" s="35" t="s">
        <v>0</v>
      </c>
      <c r="C1" s="36" t="s">
        <v>1</v>
      </c>
      <c r="D1" s="37" t="s">
        <v>2</v>
      </c>
    </row>
    <row r="2" ht="15.75" customHeight="1">
      <c r="B2" s="16"/>
      <c r="C2" s="6"/>
      <c r="D2" s="16"/>
    </row>
    <row r="3" ht="15.75" customHeight="1">
      <c r="B3" s="16" t="s">
        <v>4</v>
      </c>
      <c r="C3" s="12">
        <v>70.0</v>
      </c>
      <c r="D3" s="6">
        <f>C3/750</f>
        <v>0.09333333333</v>
      </c>
    </row>
    <row r="4" ht="15.75" customHeight="1">
      <c r="B4" s="16" t="s">
        <v>7</v>
      </c>
      <c r="C4" s="12">
        <v>250.0</v>
      </c>
      <c r="D4" s="6">
        <f>C4/$H21</f>
        <v>0.0125</v>
      </c>
    </row>
    <row r="5" ht="15.75" customHeight="1">
      <c r="B5" s="16" t="s">
        <v>8</v>
      </c>
      <c r="C5" s="12">
        <v>150.0</v>
      </c>
      <c r="D5" s="6">
        <f>C5/$H21</f>
        <v>0.0075</v>
      </c>
    </row>
    <row r="6" ht="15.75" customHeight="1">
      <c r="B6" s="16" t="s">
        <v>10</v>
      </c>
      <c r="C6" s="12">
        <v>600.0</v>
      </c>
      <c r="D6" s="6">
        <f>C6/$H21</f>
        <v>0.03</v>
      </c>
      <c r="H6" s="35" t="s">
        <v>5</v>
      </c>
      <c r="I6" s="35" t="s">
        <v>6</v>
      </c>
    </row>
    <row r="7" ht="15.75" customHeight="1">
      <c r="B7" s="16" t="s">
        <v>12</v>
      </c>
      <c r="C7" s="8">
        <v>1000.0</v>
      </c>
      <c r="D7" s="6">
        <f>C7/$H21</f>
        <v>0.05</v>
      </c>
      <c r="H7" s="16"/>
      <c r="I7" s="16"/>
    </row>
    <row r="8" ht="15.75" customHeight="1">
      <c r="B8" s="16" t="s">
        <v>14</v>
      </c>
      <c r="C8" s="12">
        <v>2500.0</v>
      </c>
      <c r="D8" s="6">
        <f>C8/$H21</f>
        <v>0.125</v>
      </c>
      <c r="H8" s="16" t="s">
        <v>9</v>
      </c>
      <c r="I8" s="6">
        <f>D13+D18+D17</f>
        <v>0.4881383333</v>
      </c>
    </row>
    <row r="9" ht="15.75" customHeight="1">
      <c r="B9" s="16" t="s">
        <v>30</v>
      </c>
      <c r="C9" s="6">
        <v>430.0</v>
      </c>
      <c r="D9" s="6">
        <f>C9/$H21</f>
        <v>0.0215</v>
      </c>
      <c r="H9" s="16" t="s">
        <v>11</v>
      </c>
      <c r="I9" s="6">
        <f>D13+D19+D17</f>
        <v>0.4881383333</v>
      </c>
    </row>
    <row r="10" ht="15.75" customHeight="1">
      <c r="B10" s="16"/>
      <c r="C10" s="16"/>
      <c r="D10" s="16"/>
      <c r="H10" s="16" t="s">
        <v>13</v>
      </c>
      <c r="I10" s="6">
        <f>D20+D13</f>
        <v>0.5148333333</v>
      </c>
    </row>
    <row r="11" ht="15.75" customHeight="1">
      <c r="H11" s="16" t="s">
        <v>15</v>
      </c>
      <c r="I11" s="6">
        <f>D22+D13</f>
        <v>0.4723333333</v>
      </c>
    </row>
    <row r="12" ht="15.75" customHeight="1">
      <c r="H12" s="16" t="s">
        <v>17</v>
      </c>
      <c r="I12" s="6">
        <f>D21+D13</f>
        <v>0.4723333333</v>
      </c>
    </row>
    <row r="13" ht="15.75" customHeight="1">
      <c r="B13" s="35" t="s">
        <v>19</v>
      </c>
      <c r="C13" s="16"/>
      <c r="D13" s="6">
        <f>SUM(D3:D12)</f>
        <v>0.3398333333</v>
      </c>
      <c r="H13" s="16" t="s">
        <v>18</v>
      </c>
      <c r="I13" s="6">
        <f>D23+D13</f>
        <v>0.4723333333</v>
      </c>
    </row>
    <row r="14" ht="15.75" customHeight="1">
      <c r="B14" s="16"/>
      <c r="C14" s="16"/>
      <c r="D14" s="16"/>
    </row>
    <row r="15" ht="15.75" customHeight="1">
      <c r="B15" s="35" t="s">
        <v>22</v>
      </c>
      <c r="C15" s="38" t="s">
        <v>23</v>
      </c>
      <c r="D15" s="38" t="s">
        <v>24</v>
      </c>
    </row>
    <row r="16" ht="15.75" customHeight="1">
      <c r="B16" s="16"/>
      <c r="C16" s="12"/>
      <c r="D16" s="6"/>
    </row>
    <row r="17" ht="15.75" customHeight="1">
      <c r="B17" s="16" t="s">
        <v>26</v>
      </c>
      <c r="C17" s="12">
        <v>3.79</v>
      </c>
      <c r="D17" s="6">
        <f>(C17/1000) * ((180/10) *0.25)</f>
        <v>0.017055</v>
      </c>
    </row>
    <row r="18" ht="15.75" customHeight="1">
      <c r="B18" s="16" t="s">
        <v>9</v>
      </c>
      <c r="C18" s="12">
        <v>35.0</v>
      </c>
      <c r="D18" s="6">
        <f t="shared" ref="D18:D19" si="1"> (C18 / 1000) * ((150 / 10) * 0.25)</f>
        <v>0.13125</v>
      </c>
    </row>
    <row r="19" ht="15.75" customHeight="1">
      <c r="B19" s="16" t="s">
        <v>28</v>
      </c>
      <c r="C19" s="12">
        <v>35.0</v>
      </c>
      <c r="D19" s="6">
        <f t="shared" si="1"/>
        <v>0.13125</v>
      </c>
      <c r="H19" s="39" t="s">
        <v>31</v>
      </c>
    </row>
    <row r="20" ht="15.75" customHeight="1">
      <c r="B20" s="16" t="s">
        <v>13</v>
      </c>
      <c r="C20" s="12">
        <v>84.0</v>
      </c>
      <c r="D20" s="6">
        <f>C20/(8*15*4)</f>
        <v>0.175</v>
      </c>
    </row>
    <row r="21" ht="15.75" customHeight="1">
      <c r="B21" s="16" t="s">
        <v>17</v>
      </c>
      <c r="C21" s="6">
        <v>0.53</v>
      </c>
      <c r="D21" s="6">
        <f t="shared" ref="D21:D23" si="2">C21/4</f>
        <v>0.1325</v>
      </c>
      <c r="H21" s="40">
        <v>20000.0</v>
      </c>
    </row>
    <row r="22" ht="15.75" customHeight="1">
      <c r="B22" s="16" t="s">
        <v>15</v>
      </c>
      <c r="C22" s="12">
        <v>0.53</v>
      </c>
      <c r="D22" s="6">
        <f t="shared" si="2"/>
        <v>0.1325</v>
      </c>
    </row>
    <row r="23" ht="15.75" customHeight="1">
      <c r="B23" s="16" t="s">
        <v>18</v>
      </c>
      <c r="C23" s="6">
        <v>0.53</v>
      </c>
      <c r="D23" s="6">
        <f t="shared" si="2"/>
        <v>0.1325</v>
      </c>
    </row>
    <row r="24" ht="15.75" customHeight="1">
      <c r="B24" s="16"/>
      <c r="C24" s="16"/>
      <c r="D24" s="16"/>
    </row>
    <row r="25" ht="15.75" customHeight="1">
      <c r="B25" s="16"/>
      <c r="C25" s="16"/>
      <c r="D25" s="16"/>
    </row>
    <row r="26" ht="15.75" customHeight="1">
      <c r="D26" s="16"/>
    </row>
    <row r="27" ht="15.75" customHeight="1">
      <c r="D27" s="16"/>
    </row>
    <row r="28" ht="15.75" customHeight="1">
      <c r="D28" s="16"/>
    </row>
    <row r="29" ht="15.75" customHeight="1">
      <c r="D29" s="16"/>
    </row>
    <row r="30" ht="15.75" customHeight="1">
      <c r="D30" s="16"/>
    </row>
    <row r="31" ht="15.75" customHeight="1">
      <c r="D31" s="16"/>
    </row>
    <row r="32" ht="15.75" customHeight="1">
      <c r="D32" s="16"/>
    </row>
    <row r="33" ht="15.75" customHeight="1">
      <c r="D33" s="16"/>
    </row>
    <row r="34" ht="15.75" customHeight="1">
      <c r="B34" s="16"/>
      <c r="C34" s="16"/>
      <c r="D34" s="1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2025-06-09T16:00:24Z</dcterms:created>
  <dc:creator>Diego Vaille</dc:creator>
</cp:coreProperties>
</file>